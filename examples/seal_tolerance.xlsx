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l-Groove Design" sheetId="1" state="visible" r:id="rId1"/>
  </sheets>
  <definedNames>
    <definedName name="sh">'Seal-Groove Design'!$C$8</definedName>
    <definedName name="sw">'Seal-Groove Design'!$C$9</definedName>
    <definedName name="d">'Seal-Groove Design'!$C$10</definedName>
    <definedName name="cc">'Seal-Groove Design'!$C$11</definedName>
    <definedName name="gh">'Seal-Groove Design'!$C$12</definedName>
    <definedName name="gw">'Seal-Groove Design'!$C$13</definedName>
    <definedName name="flat1">'Seal-Groove Design'!$C$14</definedName>
    <definedName name="flat2">'Seal-Groove Design'!$C$15</definedName>
    <definedName name="ca">'Seal-Groove Design'!$C$24</definedName>
    <definedName name="sa">'Seal-Groove Design'!$C$25</definedName>
    <definedName name="ga">'Seal-Groove Design'!$C$26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323FF"/>
      <sz val="13"/>
    </font>
    <font>
      <b val="1"/>
      <color rgb="002323FF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right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right"/>
    </xf>
    <xf numFmtId="0" fontId="0" fillId="2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30" customWidth="1" min="2" max="2"/>
    <col width="16" customWidth="1" min="3" max="3"/>
    <col width="16" customWidth="1" min="4" max="4"/>
    <col width="16" customWidth="1" min="5" max="5"/>
  </cols>
  <sheetData>
    <row r="1">
      <c r="C1" s="1" t="n"/>
      <c r="D1" s="1" t="n"/>
    </row>
    <row r="2">
      <c r="B2" s="2" t="inlineStr">
        <is>
          <t>PSA Backed Double-D Single Hole Gland Calculator</t>
        </is>
      </c>
      <c r="C2" s="1" t="n"/>
      <c r="D2" s="1" t="n"/>
    </row>
    <row r="3">
      <c r="B3" t="inlineStr">
        <is>
          <t>Model after Abraham Lee, IPPD (github.com/tisimst/vatic)</t>
        </is>
      </c>
      <c r="C3" s="1" t="n"/>
      <c r="D3" s="1" t="n"/>
    </row>
    <row r="4">
      <c r="C4" s="1" t="n"/>
      <c r="D4" s="1" t="n"/>
    </row>
    <row r="5">
      <c r="C5" s="1" t="n"/>
      <c r="D5" s="1" t="n"/>
    </row>
    <row r="6">
      <c r="B6" s="3" t="inlineStr">
        <is>
          <t>INPUTS</t>
        </is>
      </c>
      <c r="C6" s="1" t="inlineStr">
        <is>
          <t>Nominal values in the shaded fields</t>
        </is>
      </c>
      <c r="D6" s="1" t="n"/>
    </row>
    <row r="7">
      <c r="B7" s="4" t="inlineStr">
        <is>
          <t>Parameter</t>
        </is>
      </c>
      <c r="C7" s="5" t="inlineStr">
        <is>
          <t>Nominal</t>
        </is>
      </c>
      <c r="D7" s="5" t="inlineStr">
        <is>
          <t>Tolerance (+/-)</t>
        </is>
      </c>
      <c r="E7" s="4" t="inlineStr">
        <is>
          <t>Units</t>
        </is>
      </c>
    </row>
    <row r="8">
      <c r="B8" t="inlineStr">
        <is>
          <t>Seal Height (mean)</t>
        </is>
      </c>
      <c r="C8" s="6" t="n">
        <v>0.162</v>
      </c>
      <c r="D8" s="1" t="n">
        <v>0.005</v>
      </c>
      <c r="E8" t="inlineStr">
        <is>
          <t>in</t>
        </is>
      </c>
    </row>
    <row r="9">
      <c r="B9" t="inlineStr">
        <is>
          <t>Seal Width</t>
        </is>
      </c>
      <c r="C9" s="6" t="n">
        <v>0.118</v>
      </c>
      <c r="D9" s="1" t="n">
        <v>0.005</v>
      </c>
      <c r="E9" t="inlineStr">
        <is>
          <t>in</t>
        </is>
      </c>
    </row>
    <row r="10">
      <c r="B10" t="inlineStr">
        <is>
          <t>Core Hole Diameter</t>
        </is>
      </c>
      <c r="C10" s="6" t="n">
        <v>0.07099999999999999</v>
      </c>
      <c r="D10" s="1" t="n">
        <v>0.005</v>
      </c>
      <c r="E10" t="inlineStr">
        <is>
          <t>in</t>
        </is>
      </c>
    </row>
    <row r="11">
      <c r="B11" t="inlineStr">
        <is>
          <t>Core Hole % Compression</t>
        </is>
      </c>
      <c r="C11" s="6" t="n">
        <v>0.75</v>
      </c>
      <c r="D11" s="1" t="n">
        <v>0.1</v>
      </c>
      <c r="E11" t="inlineStr"/>
    </row>
    <row r="12">
      <c r="B12" t="inlineStr">
        <is>
          <t>Groove Height</t>
        </is>
      </c>
      <c r="C12" s="6" t="n">
        <v>0.117</v>
      </c>
      <c r="D12" s="1" t="n">
        <v>0.002</v>
      </c>
      <c r="E12" t="inlineStr">
        <is>
          <t>in</t>
        </is>
      </c>
    </row>
    <row r="13">
      <c r="B13" t="inlineStr">
        <is>
          <t>Groove Width</t>
        </is>
      </c>
      <c r="C13" s="6" t="n">
        <v>0.13</v>
      </c>
      <c r="D13" s="1" t="n">
        <v>0.002</v>
      </c>
      <c r="E13" t="inlineStr">
        <is>
          <t>in</t>
        </is>
      </c>
    </row>
    <row r="14">
      <c r="B14" t="inlineStr">
        <is>
          <t>Lid Flatness (GD&amp;T)</t>
        </is>
      </c>
      <c r="C14" s="6" t="n">
        <v>0</v>
      </c>
      <c r="D14" s="1" t="n">
        <v>0.005</v>
      </c>
      <c r="E14" t="inlineStr">
        <is>
          <t>in</t>
        </is>
      </c>
    </row>
    <row r="15">
      <c r="B15" t="inlineStr">
        <is>
          <t>Box Flatness (GD&amp;T)</t>
        </is>
      </c>
      <c r="C15" s="6" t="n">
        <v>0</v>
      </c>
      <c r="D15" s="1" t="n">
        <v>0.005</v>
      </c>
      <c r="E15" t="inlineStr">
        <is>
          <t>in</t>
        </is>
      </c>
    </row>
    <row r="16">
      <c r="C16" s="1" t="n"/>
      <c r="D16" s="1" t="n"/>
    </row>
    <row r="17">
      <c r="B17" s="3" t="inlineStr">
        <is>
          <t>REQUIREMENTS</t>
        </is>
      </c>
      <c r="C17" s="1" t="n"/>
      <c r="D17" s="1" t="n"/>
    </row>
    <row r="18">
      <c r="B18" s="4" t="inlineStr">
        <is>
          <t>Parameter</t>
        </is>
      </c>
      <c r="C18" s="5" t="inlineStr">
        <is>
          <t>Lower Limit</t>
        </is>
      </c>
      <c r="D18" s="5" t="inlineStr">
        <is>
          <t>Upper Limit</t>
        </is>
      </c>
    </row>
    <row r="19">
      <c r="B19">
        <f>B30</f>
        <v/>
      </c>
      <c r="C19" s="1" t="n">
        <v>0.75</v>
      </c>
      <c r="D19" s="1" t="n">
        <v>1</v>
      </c>
    </row>
    <row r="20">
      <c r="B20">
        <f>B31</f>
        <v/>
      </c>
      <c r="C20" s="1" t="n">
        <v>0.25</v>
      </c>
      <c r="D20" s="1" t="n">
        <v>0.5</v>
      </c>
    </row>
    <row r="21">
      <c r="C21" s="1" t="n"/>
      <c r="D21" s="1" t="n"/>
    </row>
    <row r="22">
      <c r="B22" s="3" t="inlineStr">
        <is>
          <t>INTERMEDIATE CALCULATIONS (REFERENCE)</t>
        </is>
      </c>
      <c r="C22" s="1" t="n"/>
      <c r="D22" s="1" t="n"/>
    </row>
    <row r="23">
      <c r="B23" s="4" t="inlineStr">
        <is>
          <t>Parameter</t>
        </is>
      </c>
      <c r="C23" s="5" t="inlineStr">
        <is>
          <t>Nominal</t>
        </is>
      </c>
      <c r="D23" s="5" t="inlineStr">
        <is>
          <t>Units</t>
        </is>
      </c>
    </row>
    <row r="24">
      <c r="B24" t="inlineStr">
        <is>
          <t>Core Hole Area</t>
        </is>
      </c>
      <c r="C24" s="1">
        <f>cc*PI()*(d/2)^2</f>
        <v/>
      </c>
      <c r="D24" s="1" t="inlineStr">
        <is>
          <t>in^2</t>
        </is>
      </c>
    </row>
    <row r="25">
      <c r="B25" t="inlineStr">
        <is>
          <t>Seal Area</t>
        </is>
      </c>
      <c r="C25" s="1">
        <f>PI()*(sw/2/2)^2+(sw*(sh-sw/4))-ca</f>
        <v/>
      </c>
      <c r="D25" s="1" t="inlineStr">
        <is>
          <t>in^2</t>
        </is>
      </c>
    </row>
    <row r="26">
      <c r="B26" t="inlineStr">
        <is>
          <t>Groove Area</t>
        </is>
      </c>
      <c r="C26" s="1">
        <f>gw*(gh+flat1+flat2)</f>
        <v/>
      </c>
      <c r="D26" s="1" t="inlineStr">
        <is>
          <t>in^2</t>
        </is>
      </c>
    </row>
    <row r="27">
      <c r="C27" s="1" t="n"/>
      <c r="D27" s="1" t="n"/>
    </row>
    <row r="28">
      <c r="B28" s="3" t="inlineStr">
        <is>
          <t>OUTPUTS</t>
        </is>
      </c>
      <c r="C28" s="1" t="n"/>
      <c r="D28" s="1" t="n"/>
    </row>
    <row r="29">
      <c r="B29" s="4" t="inlineStr">
        <is>
          <t>Parameter</t>
        </is>
      </c>
      <c r="C29" s="5" t="inlineStr">
        <is>
          <t>Nominal</t>
        </is>
      </c>
      <c r="D29" s="1" t="n"/>
    </row>
    <row r="30">
      <c r="B30" t="inlineStr">
        <is>
          <t>Gland Fill %</t>
        </is>
      </c>
      <c r="C30" s="1">
        <f>sa/ga</f>
        <v/>
      </c>
      <c r="D30" s="1" t="n"/>
    </row>
    <row r="31">
      <c r="B31" t="inlineStr">
        <is>
          <t>Seal Comp. %</t>
        </is>
      </c>
      <c r="C31" s="1">
        <f>1-gh/sh</f>
        <v/>
      </c>
      <c r="D31" s="1" t="n"/>
    </row>
    <row r="32">
      <c r="C32" s="1" t="n"/>
      <c r="D32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2026-08-19T11:36:44Z</dcterms:created>
  <dcterms:modified xmlns:dcterms="http://purl.org/dc/terms/" xmlns:xsi="http://www.w3.org/2001/XMLSchema-instance" xsi:type="dcterms:W3CDTF">2026-08-19T11:36:44Z</dcterms:modified>
</cp:coreProperties>
</file>